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liance Crosswalk" sheetId="1" state="visible" r:id="rId3"/>
    <sheet name="Legend &amp; Methodolog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<sst xmlns="http://schemas.openxmlformats.org/spreadsheetml/2006/main" count="126" uniqueCount="120">
  <si>
    <t xml:space="preserve">CloudGuardian - Week 3 Compliance Crosswalk</t>
  </si>
  <si>
    <t xml:space="preserve">Maps every Week 3 remediation / governance control to ISO/IEC 27001:2022 Annex A, the Microsoft Cloud Security Benchmark (MCSB v1), and the DPDP Act 2023 + DPDP Rules 2025.</t>
  </si>
  <si>
    <t xml:space="preserve">Control ID</t>
  </si>
  <si>
    <t xml:space="preserve">Week 3 Component</t>
  </si>
  <si>
    <t xml:space="preserve">Control Description</t>
  </si>
  <si>
    <t xml:space="preserve">ISO/IEC 27001:2022
Annex A Ref(s)</t>
  </si>
  <si>
    <t xml:space="preserve">ISO Annex A Control Name</t>
  </si>
  <si>
    <t xml:space="preserve">MCSB v1
Control ID</t>
  </si>
  <si>
    <t xml:space="preserve">MCSB Control Name</t>
  </si>
  <si>
    <t xml:space="preserve">DPDP Act 2023 / Rules 2025 Provision</t>
  </si>
  <si>
    <t xml:space="preserve">Automation Level</t>
  </si>
  <si>
    <t xml:space="preserve">Evidence / How Demonstrated</t>
  </si>
  <si>
    <t xml:space="preserve">storage_public_access</t>
  </si>
  <si>
    <t xml:space="preserve">Function: remediations/storage_public_access.py</t>
  </si>
  <si>
    <t xml:space="preserve">Disable account-level anonymous blob public access (allow_blob_public_access=False).</t>
  </si>
  <si>
    <t xml:space="preserve">A.8.9; A.8.12; A.5.10</t>
  </si>
  <si>
    <t xml:space="preserve">Configuration management; Data leakage prevention; Acceptable use of assets</t>
  </si>
  <si>
    <t xml:space="preserve">DP-2; NS-2</t>
  </si>
  <si>
    <t xml:space="preserve">Discover/classify/protect sensitive data; Secure cloud services with network controls</t>
  </si>
  <si>
    <t xml:space="preserve">Sec 8(5) reasonable security safeguards - access control</t>
  </si>
  <si>
    <t xml:space="preserve">Auto (Low/Med) or Approval-gated (High/Crit)</t>
  </si>
  <si>
    <t xml:space="preserve">Function execution log in Log Analytics; before/after state in audit record</t>
  </si>
  <si>
    <t xml:space="preserve">storage_encryption</t>
  </si>
  <si>
    <t xml:space="preserve">Function: remediations/storage_encryption.py</t>
  </si>
  <si>
    <t xml:space="preserve">Enforce HTTPS-only transport and minimum TLS 1.2 on the target Storage Account.</t>
  </si>
  <si>
    <t xml:space="preserve">A.8.24; A.8.20</t>
  </si>
  <si>
    <t xml:space="preserve">Use of cryptography; Networks security</t>
  </si>
  <si>
    <t xml:space="preserve">DP-3; DP-4</t>
  </si>
  <si>
    <t xml:space="preserve">Encrypt sensitive data in transit; Enable data-at-rest encryption by default</t>
  </si>
  <si>
    <t xml:space="preserve">DPDP Rules 2025 Sch. - encryption as a listed reasonable security safeguard</t>
  </si>
  <si>
    <t xml:space="preserve">Function execution log; Prowler/ScoutSuite re-scan clears the finding</t>
  </si>
  <si>
    <t xml:space="preserve">diagnostic_logging</t>
  </si>
  <si>
    <t xml:space="preserve">Function: remediations/diagnostic_logging.py</t>
  </si>
  <si>
    <t xml:space="preserve">Re-attach a Diagnostic Setting sending logs+metrics to the Log Analytics Workspace.</t>
  </si>
  <si>
    <t xml:space="preserve">A.8.15; A.8.16</t>
  </si>
  <si>
    <t xml:space="preserve">Logging; Monitoring activities</t>
  </si>
  <si>
    <t xml:space="preserve">LT-3; LT-4</t>
  </si>
  <si>
    <t xml:space="preserve">Enable logging for security investigation; Enable network logging</t>
  </si>
  <si>
    <t xml:space="preserve">Rules 2025: retain logs &gt;=1 year to support breach detection/investigation</t>
  </si>
  <si>
    <t xml:space="preserve">Diagnostic setting visible in Portal; KQL query against Log Analytics</t>
  </si>
  <si>
    <t xml:space="preserve">sql_encryption</t>
  </si>
  <si>
    <t xml:space="preserve">Function: remediations/sql_encryption.py</t>
  </si>
  <si>
    <t xml:space="preserve">Enable Transparent Data Encryption on the Azure SQL Database.</t>
  </si>
  <si>
    <t xml:space="preserve">A.8.24</t>
  </si>
  <si>
    <t xml:space="preserve">Use of cryptography</t>
  </si>
  <si>
    <t xml:space="preserve">DP-4</t>
  </si>
  <si>
    <t xml:space="preserve">Enable data-at-rest encryption by default</t>
  </si>
  <si>
    <t xml:space="preserve">transparentDataEncryptions.get() state=Enabled; audit record</t>
  </si>
  <si>
    <t xml:space="preserve">keyvault_firewall</t>
  </si>
  <si>
    <t xml:space="preserve">Function: remediations/keyvault_firewall.py</t>
  </si>
  <si>
    <t xml:space="preserve">Set Key Vault network ACL default_action=Deny with AzureServices bypass + explicit allow-list.</t>
  </si>
  <si>
    <t xml:space="preserve">A.8.20; A.8.9</t>
  </si>
  <si>
    <t xml:space="preserve">Networks security; Configuration management</t>
  </si>
  <si>
    <t xml:space="preserve">NS-2; DP-8</t>
  </si>
  <si>
    <t xml:space="preserve">Secure cloud services with network controls; Ensure security of key/cert repository</t>
  </si>
  <si>
    <t xml:space="preserve">Approval-gated only (network change risk - see code comment)</t>
  </si>
  <si>
    <t xml:space="preserve">vaults.get() network_acls.default_action=Deny; audit record</t>
  </si>
  <si>
    <t xml:space="preserve">tagging</t>
  </si>
  <si>
    <t xml:space="preserve">Function: remediations/tagging.py</t>
  </si>
  <si>
    <t xml:space="preserve">Merge required governance tags (Environment, Owner, DataClassification, CostCenter).</t>
  </si>
  <si>
    <t xml:space="preserve">A.5.9; A.5.10</t>
  </si>
  <si>
    <t xml:space="preserve">Inventory of information and other associated assets; Acceptable use of assets</t>
  </si>
  <si>
    <t xml:space="preserve">GS-1</t>
  </si>
  <si>
    <t xml:space="preserve">Define asset management and data protection strategy</t>
  </si>
  <si>
    <t xml:space="preserve">Supports records-of-processing / data classification obligations</t>
  </si>
  <si>
    <t xml:space="preserve">Resource tags visible in Portal/Resource Graph; audit record</t>
  </si>
  <si>
    <t xml:space="preserve">approval_gate</t>
  </si>
  <si>
    <t xml:space="preserve">Logic App: logic_app/approval_workflow.json</t>
  </si>
  <si>
    <t xml:space="preserve">Human-in-the-loop Approve/Reject gate for High/Critical findings before any remediation runs.</t>
  </si>
  <si>
    <t xml:space="preserve">A.5.15; A.8.32</t>
  </si>
  <si>
    <t xml:space="preserve">Access control; Change management</t>
  </si>
  <si>
    <t xml:space="preserve">PA-7</t>
  </si>
  <si>
    <t xml:space="preserve">Follow just enough administration principle</t>
  </si>
  <si>
    <t xml:space="preserve">Demonstrates accountability principle underpinning Sec 8 obligations</t>
  </si>
  <si>
    <t xml:space="preserve">N/A - this IS the approval control</t>
  </si>
  <si>
    <t xml:space="preserve">Logic App run history (who approved/rejected, when)</t>
  </si>
  <si>
    <t xml:space="preserve">least_privilege_identity</t>
  </si>
  <si>
    <t xml:space="preserve">Terraform: rbac.tf (custom role + Managed Identity)</t>
  </si>
  <si>
    <t xml:space="preserve">Function App and Automation Account authenticate via System-Assigned Managed Identity under a custom role scoped to only the actions the 6 remediations need - not built-in Contributor.</t>
  </si>
  <si>
    <t xml:space="preserve">A.5.15; A.8.2; A.8.5</t>
  </si>
  <si>
    <t xml:space="preserve">Access control; Privileged access rights; Secure authentication</t>
  </si>
  <si>
    <t xml:space="preserve">PA-1; IM-3</t>
  </si>
  <si>
    <t xml:space="preserve">Separate and limit highly privileged/administrative users; Manage application identities securely</t>
  </si>
  <si>
    <t xml:space="preserve">Sec 8(5) reasonable security safeguards - access control &amp; accountability</t>
  </si>
  <si>
    <t xml:space="preserve">N/A - this is the control enabling all others</t>
  </si>
  <si>
    <t xml:space="preserve">azurerm_role_definition + role_assignment in Terraform state; Portal IAM blade</t>
  </si>
  <si>
    <t xml:space="preserve">governance_drift_check</t>
  </si>
  <si>
    <t xml:space="preserve">Automation Account runbook: Test-RemediationDrift.ps1</t>
  </si>
  <si>
    <t xml:space="preserve">Daily scheduled re-check of all 6 controls; alerts (does not silently re-fix) on drift.</t>
  </si>
  <si>
    <t xml:space="preserve">A.5.35; A.5.36; A.8.16</t>
  </si>
  <si>
    <t xml:space="preserve">Independent review of information security; Compliance with policies/standards; Monitoring activities</t>
  </si>
  <si>
    <t xml:space="preserve">LT-5; GS-3</t>
  </si>
  <si>
    <t xml:space="preserve">Centralize security log management and analysis; Define and implement security posture management</t>
  </si>
  <si>
    <t xml:space="preserve">Supports ongoing 'reasonable security safeguards' obligation, not just point-in-time</t>
  </si>
  <si>
    <t xml:space="preserve">Auto (detection only, never auto-fixes)</t>
  </si>
  <si>
    <t xml:space="preserve">Automation job history + JobLogs/JobStreams in Log Analytics</t>
  </si>
  <si>
    <t xml:space="preserve">privacy_preserving_llm</t>
  </si>
  <si>
    <t xml:space="preserve">privacy_llm/tokenizer.py + llm_client.py</t>
  </si>
  <si>
    <t xml:space="preserve">Pseudonymizes subscription IDs, object IDs, UPNs, resource names, principal names before any LLM call; hard-blocks the call if a leakage guardrail check fails; detokenizes only after the response returns inside the Azure boundary.</t>
  </si>
  <si>
    <t xml:space="preserve">A.8.11; A.8.12; A.5.34</t>
  </si>
  <si>
    <t xml:space="preserve">Data masking; Data leakage prevention; Privacy and protection of PII</t>
  </si>
  <si>
    <t xml:space="preserve">DP-2</t>
  </si>
  <si>
    <t xml:space="preserve">Discover, classify, and protect sensitive data</t>
  </si>
  <si>
    <t xml:space="preserve">Rules 2025 Sch.: explicitly lists 'encryption, obfuscation, masking, or use of virtual tokens mapped to personal data' as a reasonable security safeguard - this control implements that safeguard literally, for UPNs (personal data under the Act's definition)</t>
  </si>
  <si>
    <t xml:space="preserve">N/A - this is a preventive control, not a remediation</t>
  </si>
  <si>
    <t xml:space="preserve">verify_no_leakage() raise on failure; unit test in privacy_llm/ (see setup guide Step 14)</t>
  </si>
  <si>
    <t xml:space="preserve">Total controls mapped:</t>
  </si>
  <si>
    <t xml:space="preserve">Auto-remediable (no approval needed):</t>
  </si>
  <si>
    <t xml:space="preserve">Approval-gated only (network-risk controls):</t>
  </si>
  <si>
    <t xml:space="preserve">Legend &amp; Methodology</t>
  </si>
  <si>
    <t xml:space="preserve">ISO/IEC 27001:2022 Annex A</t>
  </si>
  <si>
    <t xml:space="preserve">93 controls across 4 themes: A.5 Organizational (37), A.6 People (8), A.7 Physical (14), A.8 Technological (34). This is the 2022 revision (superseded the 2013/114-control version) - cite '27001:2022' explicitly in your report and defense, reviewers will check this.</t>
  </si>
  <si>
    <t xml:space="preserve">Microsoft Cloud Security Benchmark (MCSB)</t>
  </si>
  <si>
    <t xml:space="preserve">MCSB v1 is the current GA/production standard as of this document (mid-2026) and is what's cited throughout. MCSB v2 is in public preview (adds an AI Security domain) but has not reached General Availability - do not cite v2 control IDs as authoritative yet. MCSB is the rebrand of the earlier 'Azure Security Benchmark' (renamed October 2022); Defender for Cloud's Regulatory Compliance dashboard maps directly onto MCSB control IDs, so these IDs are also what you'll see if you enable that dashboard for your own screenshot evidence.</t>
  </si>
  <si>
    <t xml:space="preserve">DPDP Act 2023 / DPDP Rules 2025</t>
  </si>
  <si>
    <t xml:space="preserve">The Digital Personal Data Protection Act received assent in August 2023; the implementing DPDP Rules, 2025 were notified on 14 November 2025, giving the Act full operational effect. Implementation is PHASED: the Data Protection Board was instituted from 13 Nov 2025; Consent Manager registration begins 12 months later (13 Nov 2026); the main compliance duties - notice requirements, security safeguards, breach notification, Significant Data Fiduciary obligations, Data Principal rights - become enforceable at 18 months (13 May 2027). Frame this in your report as 'designed for compliance ahead of the mandatory date,' not 'currently legally required' - that is the factually accurate and more impressive framing.</t>
  </si>
  <si>
    <t xml:space="preserve">Automation Level column</t>
  </si>
  <si>
    <t xml:space="preserve">'Auto' = routed by Event Grid directly to the Function App, no human involved (Low/Medium severity only, by design - see event_grid.tf). 'Approval-gated' = routed to the Logic App, requires a human Approve click before the Function executes (High/Critical severity). keyvault_firewall is approval-gated ONLY (never auto) even at low severity, because a firewall tightening is the one control in this set that can plausibly break a legitimate caller - see the code comment in remediations/keyvault_firewall.py for the full rationale.</t>
  </si>
  <si>
    <t xml:space="preserve">How to defend this table</t>
  </si>
  <si>
    <t xml:space="preserve">For each row, be ready to show: (1) the Terraform/Python file implementing it, (2) a live Portal screenshot of the after-state, (3) the audit log entry in Log Analytics. This table is the index linking all three - walk your evaluator across one row end-to-end as your 'proof of traceability' answer if asked how you know the mapping isn't just paperwork.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</si>
</sst>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5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5F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3" min="3" style="0" width="42"/>
    <col collapsed="false" customWidth="true" hidden="false" outlineLevel="0" max="4" min="4" style="0" width="16"/>
    <col collapsed="false" customWidth="true" hidden="false" outlineLevel="0" max="5" min="5" style="0" width="30"/>
    <col collapsed="false" customWidth="true" hidden="false" outlineLevel="0" max="6" min="6" style="0" width="12"/>
    <col collapsed="false" customWidth="true" hidden="false" outlineLevel="0" max="7" min="7" style="0" width="30"/>
    <col collapsed="false" customWidth="true" hidden="false" outlineLevel="0" max="8" min="8" style="0" width="34"/>
    <col collapsed="false" customWidth="true" hidden="false" outlineLevel="0" max="9" min="9" style="0" width="22"/>
    <col collapsed="false" customWidth="true" hidden="false" outlineLevel="0" max="10" min="10" style="0" width="34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35.0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60" hidden="false" customHeight="true" outlineLevel="0" collapsed="false">
      <c r="A5" s="4" t="s">
        <v>12</v>
      </c>
      <c r="B5" s="5" t="s">
        <v>13</v>
      </c>
      <c r="C5" s="5" t="s">
        <v>14</v>
      </c>
      <c r="D5" s="5" t="s">
        <v>15</v>
      </c>
      <c r="E5" s="5" t="s">
        <v>16</v>
      </c>
      <c r="F5" s="5" t="s">
        <v>17</v>
      </c>
      <c r="G5" s="5" t="s">
        <v>18</v>
      </c>
      <c r="H5" s="5" t="s">
        <v>19</v>
      </c>
      <c r="I5" s="5" t="s">
        <v>20</v>
      </c>
      <c r="J5" s="5" t="s">
        <v>21</v>
      </c>
    </row>
    <row r="6" customFormat="false" ht="60" hidden="false" customHeight="true" outlineLevel="0" collapsed="false">
      <c r="A6" s="6" t="s">
        <v>22</v>
      </c>
      <c r="B6" s="7" t="s">
        <v>23</v>
      </c>
      <c r="C6" s="7" t="s">
        <v>24</v>
      </c>
      <c r="D6" s="7" t="s">
        <v>25</v>
      </c>
      <c r="E6" s="7" t="s">
        <v>26</v>
      </c>
      <c r="F6" s="7" t="s">
        <v>27</v>
      </c>
      <c r="G6" s="7" t="s">
        <v>28</v>
      </c>
      <c r="H6" s="7" t="s">
        <v>29</v>
      </c>
      <c r="I6" s="7" t="s">
        <v>20</v>
      </c>
      <c r="J6" s="7" t="s">
        <v>30</v>
      </c>
    </row>
    <row r="7" customFormat="false" ht="60" hidden="false" customHeight="true" outlineLevel="0" collapsed="false">
      <c r="A7" s="4" t="s">
        <v>31</v>
      </c>
      <c r="B7" s="5" t="s">
        <v>32</v>
      </c>
      <c r="C7" s="5" t="s">
        <v>33</v>
      </c>
      <c r="D7" s="5" t="s">
        <v>34</v>
      </c>
      <c r="E7" s="5" t="s">
        <v>35</v>
      </c>
      <c r="F7" s="5" t="s">
        <v>36</v>
      </c>
      <c r="G7" s="5" t="s">
        <v>37</v>
      </c>
      <c r="H7" s="5" t="s">
        <v>38</v>
      </c>
      <c r="I7" s="5" t="s">
        <v>20</v>
      </c>
      <c r="J7" s="5" t="s">
        <v>39</v>
      </c>
    </row>
    <row r="8" customFormat="false" ht="60" hidden="false" customHeight="true" outlineLevel="0" collapsed="false">
      <c r="A8" s="6" t="s">
        <v>40</v>
      </c>
      <c r="B8" s="7" t="s">
        <v>41</v>
      </c>
      <c r="C8" s="7" t="s">
        <v>42</v>
      </c>
      <c r="D8" s="7" t="s">
        <v>43</v>
      </c>
      <c r="E8" s="7" t="s">
        <v>44</v>
      </c>
      <c r="F8" s="7" t="s">
        <v>45</v>
      </c>
      <c r="G8" s="7" t="s">
        <v>46</v>
      </c>
      <c r="H8" s="7" t="s">
        <v>29</v>
      </c>
      <c r="I8" s="7" t="s">
        <v>20</v>
      </c>
      <c r="J8" s="7" t="s">
        <v>47</v>
      </c>
    </row>
    <row r="9" customFormat="false" ht="60" hidden="false" customHeight="true" outlineLevel="0" collapsed="false">
      <c r="A9" s="4" t="s">
        <v>48</v>
      </c>
      <c r="B9" s="5" t="s">
        <v>49</v>
      </c>
      <c r="C9" s="5" t="s">
        <v>50</v>
      </c>
      <c r="D9" s="5" t="s">
        <v>51</v>
      </c>
      <c r="E9" s="5" t="s">
        <v>52</v>
      </c>
      <c r="F9" s="5" t="s">
        <v>53</v>
      </c>
      <c r="G9" s="5" t="s">
        <v>54</v>
      </c>
      <c r="H9" s="5" t="s">
        <v>19</v>
      </c>
      <c r="I9" s="5" t="s">
        <v>55</v>
      </c>
      <c r="J9" s="5" t="s">
        <v>56</v>
      </c>
    </row>
    <row r="10" customFormat="false" ht="60" hidden="false" customHeight="true" outlineLevel="0" collapsed="false">
      <c r="A10" s="6" t="s">
        <v>57</v>
      </c>
      <c r="B10" s="7" t="s">
        <v>58</v>
      </c>
      <c r="C10" s="7" t="s">
        <v>59</v>
      </c>
      <c r="D10" s="7" t="s">
        <v>60</v>
      </c>
      <c r="E10" s="7" t="s">
        <v>61</v>
      </c>
      <c r="F10" s="7" t="s">
        <v>62</v>
      </c>
      <c r="G10" s="7" t="s">
        <v>63</v>
      </c>
      <c r="H10" s="7" t="s">
        <v>64</v>
      </c>
      <c r="I10" s="7" t="s">
        <v>20</v>
      </c>
      <c r="J10" s="7" t="s">
        <v>65</v>
      </c>
    </row>
    <row r="11" customFormat="false" ht="60" hidden="false" customHeight="true" outlineLevel="0" collapsed="false">
      <c r="A11" s="4" t="s">
        <v>66</v>
      </c>
      <c r="B11" s="5" t="s">
        <v>67</v>
      </c>
      <c r="C11" s="5" t="s">
        <v>68</v>
      </c>
      <c r="D11" s="5" t="s">
        <v>69</v>
      </c>
      <c r="E11" s="5" t="s">
        <v>70</v>
      </c>
      <c r="F11" s="5" t="s">
        <v>71</v>
      </c>
      <c r="G11" s="5" t="s">
        <v>72</v>
      </c>
      <c r="H11" s="5" t="s">
        <v>73</v>
      </c>
      <c r="I11" s="5" t="s">
        <v>74</v>
      </c>
      <c r="J11" s="5" t="s">
        <v>75</v>
      </c>
    </row>
    <row r="12" customFormat="false" ht="60" hidden="false" customHeight="true" outlineLevel="0" collapsed="false">
      <c r="A12" s="6" t="s">
        <v>76</v>
      </c>
      <c r="B12" s="7" t="s">
        <v>77</v>
      </c>
      <c r="C12" s="7" t="s">
        <v>78</v>
      </c>
      <c r="D12" s="7" t="s">
        <v>79</v>
      </c>
      <c r="E12" s="7" t="s">
        <v>80</v>
      </c>
      <c r="F12" s="7" t="s">
        <v>81</v>
      </c>
      <c r="G12" s="7" t="s">
        <v>82</v>
      </c>
      <c r="H12" s="7" t="s">
        <v>83</v>
      </c>
      <c r="I12" s="7" t="s">
        <v>84</v>
      </c>
      <c r="J12" s="7" t="s">
        <v>85</v>
      </c>
    </row>
    <row r="13" customFormat="false" ht="60" hidden="false" customHeight="true" outlineLevel="0" collapsed="false">
      <c r="A13" s="4" t="s">
        <v>86</v>
      </c>
      <c r="B13" s="5" t="s">
        <v>87</v>
      </c>
      <c r="C13" s="5" t="s">
        <v>88</v>
      </c>
      <c r="D13" s="5" t="s">
        <v>89</v>
      </c>
      <c r="E13" s="5" t="s">
        <v>90</v>
      </c>
      <c r="F13" s="5" t="s">
        <v>91</v>
      </c>
      <c r="G13" s="5" t="s">
        <v>92</v>
      </c>
      <c r="H13" s="5" t="s">
        <v>93</v>
      </c>
      <c r="I13" s="5" t="s">
        <v>94</v>
      </c>
      <c r="J13" s="5" t="s">
        <v>95</v>
      </c>
    </row>
    <row r="14" customFormat="false" ht="60" hidden="false" customHeight="true" outlineLevel="0" collapsed="false">
      <c r="A14" s="6" t="s">
        <v>96</v>
      </c>
      <c r="B14" s="7" t="s">
        <v>97</v>
      </c>
      <c r="C14" s="7" t="s">
        <v>98</v>
      </c>
      <c r="D14" s="7" t="s">
        <v>99</v>
      </c>
      <c r="E14" s="7" t="s">
        <v>100</v>
      </c>
      <c r="F14" s="7" t="s">
        <v>101</v>
      </c>
      <c r="G14" s="7" t="s">
        <v>102</v>
      </c>
      <c r="H14" s="7" t="s">
        <v>103</v>
      </c>
      <c r="I14" s="7" t="s">
        <v>104</v>
      </c>
      <c r="J14" s="7" t="s">
        <v>105</v>
      </c>
    </row>
    <row r="16" customFormat="false" ht="15" hidden="false" customHeight="false" outlineLevel="0" collapsed="false">
      <c r="A16" s="8" t="s">
        <v>106</v>
      </c>
      <c r="B16" s="9" t="n">
        <f aca="false">COUNTA(A5:A14)</f>
        <v>10</v>
      </c>
    </row>
    <row r="17" customFormat="false" ht="15" hidden="false" customHeight="false" outlineLevel="0" collapsed="false">
      <c r="A17" s="8" t="s">
        <v>107</v>
      </c>
      <c r="B17" s="9" t="n">
        <f aca="false">COUNTIF(I5:I14,"Auto (Low/Med) or Approval-gated (High/Crit)")</f>
        <v>5</v>
      </c>
    </row>
    <row r="18" customFormat="false" ht="15" hidden="false" customHeight="false" outlineLevel="0" collapsed="false">
      <c r="A18" s="8" t="s">
        <v>108</v>
      </c>
      <c r="B18" s="9" t="n">
        <f aca="false">COUNTIF(I5:I14,"Approval-gated only (network change risk - see code comment)")</f>
        <v>1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0" t="s">
        <v>109</v>
      </c>
    </row>
    <row r="3" customFormat="false" ht="90" hidden="false" customHeight="true" outlineLevel="0" collapsed="false">
      <c r="A3" s="11" t="s">
        <v>110</v>
      </c>
      <c r="B3" s="12" t="s">
        <v>111</v>
      </c>
    </row>
    <row r="5" customFormat="false" ht="90" hidden="false" customHeight="true" outlineLevel="0" collapsed="false">
      <c r="A5" s="11" t="s">
        <v>112</v>
      </c>
      <c r="B5" s="12" t="s">
        <v>113</v>
      </c>
    </row>
    <row r="7" customFormat="false" ht="90" hidden="false" customHeight="true" outlineLevel="0" collapsed="false">
      <c r="A7" s="11" t="s">
        <v>114</v>
      </c>
      <c r="B7" s="12" t="s">
        <v>115</v>
      </c>
    </row>
    <row r="9" customFormat="false" ht="90" hidden="false" customHeight="true" outlineLevel="0" collapsed="false">
      <c r="A9" s="11" t="s">
        <v>116</v>
      </c>
      <c r="B9" s="12" t="s">
        <v>117</v>
      </c>
    </row>
    <row r="11" customFormat="false" ht="90" hidden="false" customHeight="true" outlineLevel="0" collapsed="false">
      <c r="A11" s="11" t="s">
        <v>118</v>
      </c>
      <c r="B11" s="12" t="s">
        <v>119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2026-07-11T11:09:11Z</dcterms:created>
  <dc:creator>openpyxl</dc:creator>
  <dc:description/>
  <dc:language>en-US</dc:language>
  <cp:lastModifiedBy/>
  <dcterms:modified xsi:type="dcterms:W3CDTF">2026-07-11T11:09:11Z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